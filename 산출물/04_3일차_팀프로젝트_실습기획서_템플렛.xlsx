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안재윤\localhub\산출물\"/>
    </mc:Choice>
  </mc:AlternateContent>
  <xr:revisionPtr revIDLastSave="0" documentId="13_ncr:1_{CCE06840-C727-44EC-BCBA-F8A8A45ACB02}" xr6:coauthVersionLast="47" xr6:coauthVersionMax="47" xr10:uidLastSave="{00000000-0000-0000-0000-000000000000}"/>
  <bookViews>
    <workbookView xWindow="-120" yWindow="-120" windowWidth="29040" windowHeight="15720" tabRatio="500" firstSheet="3" activeTab="5" xr2:uid="{00000000-000D-0000-FFFF-FFFF00000000}"/>
  </bookViews>
  <sheets>
    <sheet name="0_사용안내" sheetId="1" r:id="rId1"/>
    <sheet name="1_프롬프트가이드(참고)" sheetId="2" r:id="rId2"/>
    <sheet name="0_사용안내 (2)" sheetId="8" r:id="rId3"/>
    <sheet name="2_요구사항분석(실습)" sheetId="3" r:id="rId4"/>
    <sheet name="3_아이디어도출(실습)" sheetId="4" r:id="rId5"/>
    <sheet name="4_MVP정의(실습)" sheetId="5" r:id="rId6"/>
    <sheet name="5_WBS_간트차트(실습)" sheetId="6" r:id="rId7"/>
    <sheet name="6_용어설명(참고)" sheetId="7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4" l="1"/>
  <c r="G15" i="4"/>
  <c r="G14" i="4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G13" i="4"/>
  <c r="G12" i="4"/>
  <c r="G11" i="4"/>
  <c r="G10" i="4"/>
  <c r="G9" i="4"/>
  <c r="G8" i="4"/>
  <c r="G7" i="4"/>
  <c r="G6" i="4"/>
</calcChain>
</file>

<file path=xl/sharedStrings.xml><?xml version="1.0" encoding="utf-8"?>
<sst xmlns="http://schemas.openxmlformats.org/spreadsheetml/2006/main" count="342" uniqueCount="251">
  <si>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</si>
  <si>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</si>
  <si>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</si>
  <si>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</si>
  <si>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</si>
  <si>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</si>
  <si>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</si>
  <si>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</si>
  <si>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</si>
  <si>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</si>
  <si>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</si>
  <si>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</si>
  <si>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</si>
  <si>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</si>
  <si>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</si>
  <si>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</si>
  <si>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</si>
  <si>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</si>
  <si>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</si>
  <si>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</si>
  <si>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</si>
  <si>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</si>
  <si>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</si>
  <si>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</si>
  <si>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</si>
  <si>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</si>
  <si>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</si>
  <si>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</si>
  <si>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</si>
  <si>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</si>
  <si>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</si>
  <si>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</si>
  <si>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</si>
  <si>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</si>
  <si>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</si>
  <si>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</si>
  <si>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</si>
  <si>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</si>
  <si>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</si>
  <si>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</si>
  <si>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</si>
  <si>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</si>
  <si>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</si>
  <si>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</si>
  <si>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</si>
  <si>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</si>
  <si>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</si>
  <si>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</si>
  <si>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</si>
  <si>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</si>
  <si>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</si>
  <si>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</si>
  <si>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</si>
  <si>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</si>
  <si>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</si>
  <si>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</si>
  <si>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</si>
  <si>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</si>
  <si>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</si>
  <si>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</si>
  <si>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</si>
  <si>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</si>
  <si>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</si>
  <si>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</si>
  <si>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</si>
  <si>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</si>
  <si>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</si>
  <si>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</si>
  <si>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</si>
  <si>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</si>
  <si>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</si>
  <si>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</si>
  <si>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</si>
  <si>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</si>
  <si>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</si>
  <si>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</si>
  <si>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</si>
  <si>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</si>
  <si>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</si>
  <si>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</si>
  <si>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</si>
  <si>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</si>
  <si>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</si>
  <si>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</si>
  <si>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</si>
  <si>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</si>
  <si>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</si>
  <si>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</si>
  <si>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</si>
  <si>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</si>
  <si>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</si>
  <si>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</si>
  <si>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</si>
  <si>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</si>
  <si>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</si>
  <si>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</si>
  <si>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</si>
  <si>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</si>
  <si>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</si>
  <si>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</si>
  <si>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</si>
  <si>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</si>
  <si>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</si>
  <si>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</si>
  <si>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</si>
  <si>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</si>
  <si>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</si>
  <si>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</si>
  <si>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</si>
  <si>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</si>
  <si>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</si>
  <si>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</si>
  <si>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</si>
  <si>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</si>
  <si>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</si>
  <si>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</si>
  <si>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</si>
  <si>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</si>
  <si>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</si>
  <si>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</si>
  <si>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</si>
  <si>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</si>
  <si>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</si>
  <si>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</si>
  <si>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</si>
  <si>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</si>
  <si>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</si>
  <si>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</si>
  <si>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</si>
  <si>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</si>
  <si>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</si>
  <si>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</si>
  <si>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</si>
  <si>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</si>
  <si>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</si>
  <si>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</si>
  <si>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</si>
  <si>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</si>
  <si>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</si>
  <si>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</si>
  <si>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</si>
  <si>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</si>
  <si>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</si>
  <si>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</si>
  <si>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</si>
  <si>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</si>
  <si>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</si>
  <si>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</si>
  <si>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III. 제공 데이터 활용 '나'</t>
  </si>
  <si>
    <t>III. 챗봇 기능 구현 '가'의 주의사항</t>
  </si>
  <si>
    <t>III. 개발 환경 및 AI 도구 정책 '나'</t>
  </si>
  <si>
    <t>개발이 착수된 이후에는 기능 추가나 범위 변경을 원칙적으로 수용하지 않습니다.</t>
  </si>
  <si>
    <t>II. 개요 3, V. 기타 '5'</t>
  </si>
  <si>
    <t>지정된 납기일(2026. 7. 16. 목 15:00) 이내에 소스코드, 배포 URL, 기능 명세서 등 모든 산출물을 제출해야 하며 누락 시 미완료로 처리됩니다.</t>
  </si>
  <si>
    <t>IV. 참고 1 산출물 목록</t>
  </si>
  <si>
    <t>마감일(7월 16일)까지 일정이 이틀밖에 남지 않은 매우 촉박한 상황입니다. 우선순위 조정과 즉각적인 자원 투입이 절대적으로 필요합니다.</t>
  </si>
  <si>
    <t>백엔드 서버 없이 Vue.js 3(Vite) 기반의 단일 페이지 애플리케이션(SPA) 구조로 개발해야 합니다.</t>
  </si>
  <si>
    <t>II. 개요 2, III. 프론트엔드 구현</t>
  </si>
  <si>
    <t>회원가입 없이 브라우저의 localStorage를 활용하여 게시글 목록 조회, 상세 조회, 작성(비밀번호 저장 포함), 수정, 삭제 기능을 구현해야 합니다.</t>
  </si>
  <si>
    <t>III. 커뮤니티 기능 구현 '가~다'</t>
  </si>
  <si>
    <t>교육 목적으로 의도된 설계이나, 로컬 환경 초기화 시 데이터가 유실된다는 점을 사용자 화면에 명확히 안내하는 UX 설계가 필요합니다.</t>
  </si>
  <si>
    <t>환경변수로 관리되는 OpenAI API를 프론트엔드에서 직접 호출해, 권역별 자연어 질의응답 및 채팅 UI 컴포넌트를 구현해야 합니다.</t>
  </si>
  <si>
    <t>III. 챗봇 기능 구현 '가~다'</t>
  </si>
  <si>
    <t>완성된 프론트엔드 결과물을 Netlify 플랫폼을 통해 배포해야 합니다.</t>
  </si>
  <si>
    <t>III. 배포 환경 구성 '가'</t>
  </si>
  <si>
    <t>최소 1개 이상의 부가 기능(예: 지도 시각화, 대시보드, 날씨 정보 연동, 다국어 지원 등)을 선택하여 개발해야 합니다.</t>
  </si>
  <si>
    <t>IV. 참고 2 선택 기능</t>
  </si>
  <si>
    <t>촉박한 일정을 고려할 때, 상대적으로 공수가 적게 들고 시각적 효과가 큰 외부 날씨 API 연동이나 단순 지도 핀 시각화를 우선 검토하는 것이 합리적입니다.</t>
  </si>
  <si>
    <t>지도 시각화</t>
  </si>
  <si>
    <t>Leaflet.js/Kakao Maps로 관광지.맛집 핀 시각화 및 권역 필터</t>
  </si>
  <si>
    <t>데이터 시각화 대시보드</t>
  </si>
  <si>
    <t>축제 캘린더</t>
  </si>
  <si>
    <t>FullCalendar 등으로 권역별 축제 일정 캘린더 시각화</t>
  </si>
  <si>
    <t>경로 안내</t>
  </si>
  <si>
    <t>복수 관광지.맛집 선택 후 이동 경로 지도 시각화</t>
  </si>
  <si>
    <t>날씨 정보 연동</t>
  </si>
  <si>
    <t>외부 날씨 API 연동, 권역별 현재 날씨.여행 적합도 표시</t>
  </si>
  <si>
    <t>실시간 알림</t>
  </si>
  <si>
    <t>WebSocket(새로고침 없이 실시간으로 데이터를 주고받는 통신 방식) 기반 새 게시글 실시간 알림/접속자 현황</t>
  </si>
  <si>
    <t>다국어 지원</t>
  </si>
  <si>
    <t>i18n(여러 나라 언어를 지원하게 만드는 기술) 활용 한/영 전환 및 다국어 콘텐츠</t>
  </si>
  <si>
    <t>소셜 공유 연동</t>
  </si>
  <si>
    <t>카카오톡.링크 복사 공유 및 OG 태그(공유했을 때 미리보기를 예쁘게 보여주는 설정) 메타데이터</t>
  </si>
  <si>
    <t>다크 모드</t>
    <phoneticPr fontId="17" type="noConversion"/>
  </si>
  <si>
    <t>야간 시력 보호, 눈 피로 감소, 콘텐츠 집중도 향상</t>
    <phoneticPr fontId="17" type="noConversion"/>
  </si>
  <si>
    <t>검색 기록</t>
    <phoneticPr fontId="17" type="noConversion"/>
  </si>
  <si>
    <t>서버 없이도 개인화된 사용자 경험 제공</t>
    <phoneticPr fontId="17" type="noConversion"/>
  </si>
  <si>
    <t>커뮤니티 게시판 기능 확장(좋아요)</t>
    <phoneticPr fontId="17" type="noConversion"/>
  </si>
  <si>
    <t>사용자 참여 유도 및 양질의 컨텐츠 선별 가능</t>
    <phoneticPr fontId="17" type="noConversion"/>
  </si>
  <si>
    <t>보류</t>
  </si>
  <si>
    <t>제외</t>
  </si>
  <si>
    <r>
      <t>Chart.js/D3.js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권역별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게시글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인기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통계</t>
    </r>
    <phoneticPr fontId="17" type="noConversion"/>
  </si>
  <si>
    <t>선정</t>
  </si>
  <si>
    <r>
      <rPr>
        <sz val="10"/>
        <color rgb="FF222222"/>
        <rFont val="맑은 고딕"/>
        <family val="3"/>
        <charset val="129"/>
      </rPr>
      <t>서울</t>
    </r>
    <r>
      <rPr>
        <sz val="10"/>
        <color rgb="FF222222"/>
        <rFont val="Noto Sans CJK SC"/>
        <family val="2"/>
      </rPr>
      <t>/경기</t>
    </r>
    <phoneticPr fontId="17" type="noConversion"/>
  </si>
  <si>
    <t>서울 방문 관광객</t>
    <phoneticPr fontId="17" type="noConversion"/>
  </si>
  <si>
    <t>선정 1개 권역 카테고리 게시판 CRUD (목록/상세/작성/수정/삭제, 비밀번호 기반 권한)</t>
  </si>
  <si>
    <t>챗봇 API(POST /api/chat) 및 채팅 UI (대화 히스토리 유지, 모바일 대응, 플로팅)</t>
  </si>
  <si>
    <r>
      <t>FE(</t>
    </r>
    <r>
      <rPr>
        <sz val="10"/>
        <color rgb="FF222222"/>
        <rFont val="맑은 고딕"/>
        <family val="3"/>
        <charset val="129"/>
      </rPr>
      <t>화면</t>
    </r>
    <r>
      <rPr>
        <sz val="10"/>
        <color rgb="FF222222"/>
        <rFont val="Arial"/>
        <family val="2"/>
      </rPr>
      <t>): Vue.js 3 SPA(</t>
    </r>
    <r>
      <rPr>
        <sz val="10"/>
        <color rgb="FF222222"/>
        <rFont val="맑은 고딕"/>
        <family val="3"/>
        <charset val="129"/>
      </rPr>
      <t>새로고침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화면전환</t>
    </r>
    <r>
      <rPr>
        <sz val="10"/>
        <color rgb="FF222222"/>
        <rFont val="Arial"/>
        <family val="2"/>
      </rPr>
      <t>) / BE(</t>
    </r>
    <r>
      <rPr>
        <sz val="10"/>
        <color rgb="FF222222"/>
        <rFont val="맑은 고딕"/>
        <family val="3"/>
        <charset val="129"/>
      </rPr>
      <t>서버</t>
    </r>
    <r>
      <rPr>
        <sz val="10"/>
        <color rgb="FF222222"/>
        <rFont val="Arial"/>
        <family val="2"/>
      </rPr>
      <t xml:space="preserve">): FastAPI + SQLAlchemy(DB </t>
    </r>
    <r>
      <rPr>
        <sz val="10"/>
        <color rgb="FF222222"/>
        <rFont val="맑은 고딕"/>
        <family val="3"/>
        <charset val="129"/>
      </rPr>
      <t>연결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도구</t>
    </r>
    <r>
      <rPr>
        <sz val="10"/>
        <color rgb="FF222222"/>
        <rFont val="Arial"/>
        <family val="2"/>
      </rPr>
      <t>) + SQLite(</t>
    </r>
    <r>
      <rPr>
        <sz val="10"/>
        <color rgb="FF222222"/>
        <rFont val="맑은 고딕"/>
        <family val="3"/>
        <charset val="129"/>
      </rPr>
      <t>가벼운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데이터베이스</t>
    </r>
    <r>
      <rPr>
        <sz val="10"/>
        <color rgb="FF222222"/>
        <rFont val="Arial"/>
        <family val="2"/>
      </rPr>
      <t>)</t>
    </r>
    <phoneticPr fontId="17" type="noConversion"/>
  </si>
  <si>
    <t>Netlify(FE 배포 서비스).Render(BE 배포 서비스)로 배포 및 URL 동작 확인</t>
  </si>
  <si>
    <t>기능명세서(데이터 출처.라이선스 목록 포함) 및 WBS 문서</t>
  </si>
  <si>
    <t>선정하지 않은 나머지 4개 권역 데이터 및 기능</t>
  </si>
  <si>
    <r>
      <rPr>
        <sz val="10"/>
        <color rgb="FF222222"/>
        <rFont val="맑은 고딕"/>
        <family val="3"/>
        <charset val="129"/>
      </rPr>
      <t>선정하지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않은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phoneticPr fontId="17" type="noConversion"/>
  </si>
  <si>
    <r>
      <rPr>
        <sz val="11"/>
        <color theme="1"/>
        <rFont val="맑은 고딕"/>
        <family val="2"/>
        <charset val="129"/>
      </rPr>
      <t>지도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시각화</t>
    </r>
    <r>
      <rPr>
        <sz val="11"/>
        <color theme="1"/>
        <rFont val="Calibri"/>
        <family val="2"/>
        <charset val="1"/>
      </rPr>
      <t>(1</t>
    </r>
    <r>
      <rPr>
        <sz val="11"/>
        <color theme="1"/>
        <rFont val="맑은 고딕"/>
        <family val="2"/>
        <charset val="129"/>
      </rPr>
      <t>순위</t>
    </r>
    <r>
      <rPr>
        <sz val="11"/>
        <color theme="1"/>
        <rFont val="Calibri"/>
        <family val="2"/>
        <charset val="1"/>
      </rPr>
      <t xml:space="preserve">)
</t>
    </r>
    <r>
      <rPr>
        <sz val="11"/>
        <color theme="1"/>
        <rFont val="맑은 고딕"/>
        <family val="2"/>
        <charset val="129"/>
      </rPr>
      <t>경로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안내 / 날씨 정보 연동/ 다크 모드</t>
    </r>
    <r>
      <rPr>
        <sz val="11"/>
        <color theme="1"/>
        <rFont val="Calibri"/>
        <family val="2"/>
        <charset val="1"/>
      </rPr>
      <t xml:space="preserve"> / </t>
    </r>
    <r>
      <rPr>
        <sz val="11"/>
        <color theme="1"/>
        <rFont val="맑은 고딕"/>
        <family val="2"/>
        <charset val="129"/>
      </rPr>
      <t>검색기록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맑은 고딕"/>
        <family val="2"/>
        <charset val="129"/>
      </rPr>
      <t>예비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후보</t>
    </r>
    <r>
      <rPr>
        <sz val="11"/>
        <color theme="1"/>
        <rFont val="Calibri"/>
        <family val="2"/>
        <charset val="1"/>
      </rPr>
      <t xml:space="preserve">) 
- </t>
    </r>
    <r>
      <rPr>
        <sz val="11"/>
        <color theme="1"/>
        <rFont val="맑은 고딕"/>
        <family val="2"/>
        <charset val="129"/>
      </rPr>
      <t>개발기간</t>
    </r>
    <r>
      <rPr>
        <sz val="11"/>
        <color theme="1"/>
        <rFont val="Calibri"/>
        <family val="2"/>
        <charset val="1"/>
      </rPr>
      <t xml:space="preserve"> 3</t>
    </r>
    <r>
      <rPr>
        <sz val="11"/>
        <color theme="1"/>
        <rFont val="맑은 고딕"/>
        <family val="2"/>
        <charset val="129"/>
      </rPr>
      <t>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완성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가능성을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최우선으로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판단</t>
    </r>
    <phoneticPr fontId="17" type="noConversion"/>
  </si>
  <si>
    <r>
      <rPr>
        <sz val="10"/>
        <color rgb="FF222222"/>
        <rFont val="맑은 고딕"/>
        <family val="3"/>
        <charset val="129"/>
      </rPr>
      <t>가고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싶은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목적지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주변의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접근성이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떨어짐</t>
    </r>
    <phoneticPr fontId="17" type="noConversion"/>
  </si>
  <si>
    <r>
      <rPr>
        <sz val="10"/>
        <color rgb="FF222222"/>
        <rFont val="맑은 고딕"/>
        <family val="3"/>
        <charset val="129"/>
      </rPr>
      <t>납기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필수기능</t>
    </r>
    <r>
      <rPr>
        <sz val="10"/>
        <color rgb="FF222222"/>
        <rFont val="Arial"/>
        <family val="2"/>
      </rPr>
      <t xml:space="preserve"> 100% </t>
    </r>
    <r>
      <rPr>
        <sz val="10"/>
        <color rgb="FF222222"/>
        <rFont val="맑은 고딕"/>
        <family val="3"/>
        <charset val="129"/>
      </rPr>
      <t>구현</t>
    </r>
    <r>
      <rPr>
        <sz val="10"/>
        <color rgb="FF222222"/>
        <rFont val="Arial"/>
        <family val="2"/>
      </rPr>
      <t xml:space="preserve"> +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Arial"/>
        <family val="2"/>
      </rPr>
      <t xml:space="preserve"> 1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 +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 URL </t>
    </r>
    <r>
      <rPr>
        <sz val="10"/>
        <color rgb="FF222222"/>
        <rFont val="맑은 고딕"/>
        <family val="3"/>
        <charset val="129"/>
      </rPr>
      <t>정상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동작</t>
    </r>
    <phoneticPr fontId="17" type="noConversion"/>
  </si>
  <si>
    <r>
      <t>Should / Could have 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 xml:space="preserve"> - </t>
    </r>
    <r>
      <rPr>
        <b/>
        <sz val="10"/>
        <color rgb="FF222222"/>
        <rFont val="맑은 고딕"/>
        <family val="3"/>
        <charset val="129"/>
      </rPr>
      <t>지도 시각화/다크 모드</t>
    </r>
    <r>
      <rPr>
        <b/>
        <sz val="10"/>
        <color rgb="FF222222"/>
        <rFont val="Arial"/>
        <family val="2"/>
      </rPr>
      <t>)</t>
    </r>
    <phoneticPr fontId="17" type="noConversion"/>
  </si>
  <si>
    <r>
      <t>Won't have (</t>
    </r>
    <r>
      <rPr>
        <b/>
        <sz val="10"/>
        <color rgb="FF222222"/>
        <rFont val="맑은 고딕"/>
        <family val="3"/>
        <charset val="129"/>
      </rPr>
      <t>이번</t>
    </r>
    <r>
      <rPr>
        <b/>
        <sz val="10"/>
        <color rgb="FF222222"/>
        <rFont val="Arial"/>
        <family val="2"/>
      </rPr>
      <t xml:space="preserve"> MVP </t>
    </r>
    <r>
      <rPr>
        <b/>
        <sz val="10"/>
        <color rgb="FF222222"/>
        <rFont val="맑은 고딕"/>
        <family val="3"/>
        <charset val="129"/>
      </rPr>
      <t>범위에서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 xml:space="preserve"> - </t>
    </r>
    <r>
      <rPr>
        <b/>
        <sz val="10"/>
        <color rgb="FF222222"/>
        <rFont val="돋움"/>
        <family val="2"/>
        <charset val="129"/>
      </rPr>
      <t>프론트 엔드에서 사용한 기능 선정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</si>
  <si>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회원가입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로그인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소셜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인증, 커뮤니티 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사용자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계정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체계</t>
    </r>
    <phoneticPr fontId="17" type="noConversion"/>
  </si>
  <si>
    <t>요구사항 분석 및 MVP 확정</t>
  </si>
  <si>
    <t>화면 UI/UX 와이어프레임 설계</t>
  </si>
  <si>
    <t>Vue.js 3 (Vite) 프로젝트 세팅 및 환경 구성</t>
  </si>
  <si>
    <t>팀전체</t>
  </si>
  <si>
    <t>FE</t>
  </si>
  <si>
    <t>제공 JSON 데이터 연동 및 리스트 UI 구현</t>
  </si>
  <si>
    <t>localStorage 기반 커뮤니티 게시판 CRUD 구현</t>
  </si>
  <si>
    <t>OpenAI API 연동 및 챗봇 컴포넌트 개발</t>
  </si>
  <si>
    <t>선택 기능(날씨 API, 게시판 검색) 구현</t>
  </si>
  <si>
    <t>Netlify 환경 설정 및 빌드 배포</t>
  </si>
  <si>
    <t>배포 사이트 URL 동작 확인 및 버그 수정</t>
  </si>
  <si>
    <t>기능 명세서 및 데이터 라이선스 목록 작성</t>
  </si>
  <si>
    <t>시연용 발표 PPT 작성 및 제출물 종합 점검</t>
  </si>
  <si>
    <t>2026-07-14</t>
  </si>
  <si>
    <t>2026-07-15</t>
  </si>
  <si>
    <t>2026-07-16</t>
  </si>
  <si>
    <t>예정</t>
  </si>
  <si>
    <t>완료</t>
  </si>
  <si>
    <t>제약</t>
  </si>
  <si>
    <t>데이터 라이선스 준수</t>
  </si>
  <si>
    <t>제공 JSON 외 추가 데이터를 수집할 경우, 반드시 해당 데이터의 사용 범위(공공누리 유형 등)를 사전 확인하여 활용 가능 여부를 검토해야 합니다.</t>
  </si>
  <si>
    <t>무단 데이터 크롤링 및 사용으로 인한 법적 리스크를 원천 차단하기 위한 필수 조치입니다.</t>
  </si>
  <si>
    <t>API 과금 및 보안</t>
  </si>
  <si>
    <t>프론트엔드 코드에 API 키가 노출될 수 있으므로, 반드시 사용량 제한이 적용된 키를 사용하고 결제 한도를 낮게 설정해야 합니다.</t>
  </si>
  <si>
    <t>브라우저에서의 키 관리는 보안 취약점이 큽니다. 개발팀에 엄격한 환경변수(.env) 통제 및 주기적인 과금 모니터링을 지시해야 합니다.</t>
  </si>
  <si>
    <t>비인가 AI 도구 금지</t>
  </si>
  <si>
    <t>개발 시 VSCode Copilot과 OPENAI API KEY 조합만 허용되며, Claude Code나 Cursor 등 타 AI 도구는 보안상의 이유로 사용이 불가합니다.</t>
  </si>
  <si>
    <t>고객사의 보안 정책 위반 시 계약 불이익이 예상되므로, 프로젝트 투입 전 참여 인력 전원의 개발 환경 점검이 요구됩니다.</t>
  </si>
  <si>
    <t>요구사항 변경 불가</t>
  </si>
  <si>
    <t>유연한 일정 변경이 불가능합니다. 기획안 및 WBS 확정 단계에서 모든 예외 케이스를 도출하고 고객사의 최종 승인을 받아야 합니다.</t>
  </si>
  <si>
    <t>산출물 및 납기 엄수</t>
  </si>
  <si>
    <t>필수</t>
  </si>
  <si>
    <t>프론트엔드 개발 환경</t>
  </si>
  <si>
    <t>서버 의존성을 배제한 상태에서 데이터의 로딩 및 화면 전환 최적화에 주력해야 합니다.</t>
  </si>
  <si>
    <t>익명 커뮤니티(CRUD)</t>
  </si>
  <si>
    <t>AI 챗봇 탑재</t>
  </si>
  <si>
    <t>AI가 제시된 JSON 데이터 범위 내에서만 정확히 답변하도록 프롬프트 체이닝 등 환각(Hallucination) 방지 로직을 세밀하게 구성해야 합니다.</t>
  </si>
  <si>
    <t>지정 서비스 배포</t>
  </si>
  <si>
    <t>저장소(Git) 연동형 CI/CD 파이프라인을 구축해 수정 사항이 신속하고 안정적으로 배포되도록 조치해야 합니다.</t>
  </si>
  <si>
    <t>선택</t>
  </si>
  <si>
    <t>부가 기능 추가</t>
  </si>
  <si>
    <r>
      <rPr>
        <sz val="10"/>
        <color rgb="FF222222"/>
        <rFont val="맑은 고딕"/>
        <family val="3"/>
        <charset val="129"/>
      </rPr>
      <t>지도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시각화</t>
    </r>
    <r>
      <rPr>
        <sz val="10"/>
        <color rgb="FF222222"/>
        <rFont val="Noto Sans CJK SC"/>
        <family val="3"/>
      </rPr>
      <t xml:space="preserve"> - Kakao Maps API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권역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내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관광지</t>
    </r>
    <r>
      <rPr>
        <sz val="10"/>
        <color rgb="FF222222"/>
        <rFont val="Noto Sans CJK SC"/>
        <family val="3"/>
      </rPr>
      <t>.</t>
    </r>
    <r>
      <rPr>
        <sz val="10"/>
        <color rgb="FF222222"/>
        <rFont val="맑은 고딕"/>
        <family val="3"/>
        <charset val="129"/>
      </rPr>
      <t>맛집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위치를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지도에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마커로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표시</t>
    </r>
    <phoneticPr fontId="17" type="noConversion"/>
  </si>
  <si>
    <r>
      <rPr>
        <sz val="10"/>
        <color rgb="FF222222"/>
        <rFont val="맑은 고딕"/>
        <family val="3"/>
        <charset val="129"/>
      </rPr>
      <t>다크</t>
    </r>
    <r>
      <rPr>
        <sz val="10"/>
        <color rgb="FF222222"/>
        <rFont val="Noto Sans CJK SC"/>
        <family val="3"/>
        <charset val="129"/>
      </rPr>
      <t xml:space="preserve"> </t>
    </r>
    <r>
      <rPr>
        <sz val="10"/>
        <color rgb="FF222222"/>
        <rFont val="맑은 고딕"/>
        <family val="3"/>
        <charset val="129"/>
      </rPr>
      <t>모드</t>
    </r>
    <r>
      <rPr>
        <sz val="10"/>
        <color rgb="FF222222"/>
        <rFont val="Noto Sans CJK SC"/>
        <family val="3"/>
        <charset val="129"/>
      </rPr>
      <t xml:space="preserve"> - </t>
    </r>
    <r>
      <rPr>
        <sz val="10"/>
        <color rgb="FF222222"/>
        <rFont val="맑은 고딕"/>
        <family val="3"/>
        <charset val="129"/>
      </rPr>
      <t>다크</t>
    </r>
    <r>
      <rPr>
        <sz val="10"/>
        <color rgb="FF222222"/>
        <rFont val="Noto Sans CJK SC"/>
        <family val="3"/>
        <charset val="129"/>
      </rPr>
      <t xml:space="preserve"> </t>
    </r>
    <r>
      <rPr>
        <sz val="10"/>
        <color rgb="FF222222"/>
        <rFont val="맑은 고딕"/>
        <family val="3"/>
        <charset val="129"/>
      </rPr>
      <t>모드</t>
    </r>
    <r>
      <rPr>
        <sz val="10"/>
        <color rgb="FF222222"/>
        <rFont val="Noto Sans CJK SC"/>
        <family val="3"/>
        <charset val="129"/>
      </rPr>
      <t xml:space="preserve"> </t>
    </r>
    <r>
      <rPr>
        <sz val="10"/>
        <color rgb="FF222222"/>
        <rFont val="맑은 고딕"/>
        <family val="3"/>
        <charset val="129"/>
      </rPr>
      <t>기능</t>
    </r>
    <r>
      <rPr>
        <sz val="10"/>
        <color rgb="FF222222"/>
        <rFont val="Noto Sans CJK SC"/>
        <family val="3"/>
        <charset val="129"/>
      </rPr>
      <t xml:space="preserve"> </t>
    </r>
    <r>
      <rPr>
        <sz val="10"/>
        <color rgb="FF222222"/>
        <rFont val="맑은 고딕"/>
        <family val="3"/>
        <charset val="129"/>
      </rPr>
      <t>추가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</si>
</sst>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9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charset val="129"/>
    </font>
    <font>
      <sz val="11"/>
      <color theme="1"/>
      <name val="Calibri"/>
      <family val="2"/>
    </font>
    <font>
      <b/>
      <sz val="10"/>
      <color rgb="FF222222"/>
      <name val="돋움"/>
      <family val="2"/>
      <charset val="129"/>
    </font>
    <font>
      <sz val="11"/>
      <color theme="1"/>
      <name val="맑은 고딕"/>
      <family val="2"/>
      <scheme val="minor"/>
    </font>
    <font>
      <b/>
      <sz val="11"/>
      <color rgb="FF9C0006"/>
      <name val="맑은 고딕"/>
      <family val="3"/>
      <charset val="129"/>
    </font>
    <font>
      <b/>
      <sz val="11"/>
      <color rgb="FF006100"/>
      <name val="맑은 고딕"/>
      <family val="3"/>
      <charset val="129"/>
    </font>
    <font>
      <b/>
      <sz val="11"/>
      <color rgb="FF9C5700"/>
      <name val="맑은 고딕"/>
      <family val="3"/>
      <charset val="129"/>
    </font>
    <font>
      <sz val="10"/>
      <color rgb="FF222222"/>
      <name val="Noto Sans CJK SC"/>
      <family val="3"/>
    </font>
  </fonts>
  <fills count="21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0"/>
    <xf numFmtId="0" fontId="44" fillId="0" borderId="0"/>
  </cellStyleXfs>
  <cellXfs count="99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0" fillId="0" borderId="0" xfId="0"/>
    <xf numFmtId="0" fontId="0" fillId="0" borderId="0" xfId="0"/>
    <xf numFmtId="0" fontId="1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left" vertical="center" wrapText="1"/>
    </xf>
    <xf numFmtId="0" fontId="44" fillId="0" borderId="9" xfId="1" applyBorder="1" applyAlignment="1">
      <alignment horizontal="center" vertical="center"/>
    </xf>
    <xf numFmtId="0" fontId="44" fillId="0" borderId="9" xfId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44" fillId="0" borderId="9" xfId="1" applyBorder="1" applyAlignment="1">
      <alignment horizontal="center" vertical="center"/>
    </xf>
    <xf numFmtId="0" fontId="45" fillId="18" borderId="10" xfId="1" applyFont="1" applyFill="1" applyBorder="1" applyAlignment="1">
      <alignment horizontal="center" vertical="center" wrapText="1"/>
    </xf>
    <xf numFmtId="0" fontId="44" fillId="0" borderId="10" xfId="1" applyBorder="1" applyAlignment="1">
      <alignment horizontal="center" vertical="center" wrapText="1"/>
    </xf>
    <xf numFmtId="0" fontId="44" fillId="0" borderId="10" xfId="1" applyBorder="1" applyAlignment="1">
      <alignment horizontal="left" vertical="center" wrapText="1"/>
    </xf>
    <xf numFmtId="0" fontId="46" fillId="19" borderId="10" xfId="1" applyFont="1" applyFill="1" applyBorder="1" applyAlignment="1">
      <alignment horizontal="center" vertical="center" wrapText="1"/>
    </xf>
    <xf numFmtId="0" fontId="47" fillId="20" borderId="10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1" fillId="0" borderId="2" xfId="0" applyFont="1" applyBorder="1" applyAlignment="1">
      <alignment horizontal="left" vertical="center" wrapText="1"/>
    </xf>
    <xf numFmtId="0" fontId="41" fillId="0" borderId="4" xfId="0" applyFont="1" applyBorder="1" applyAlignment="1">
      <alignment horizontal="left" vertical="center" wrapText="1"/>
    </xf>
    <xf numFmtId="0" fontId="41" fillId="0" borderId="3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25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</cellXfs>
  <cellStyles count="2">
    <cellStyle name="표준" xfId="0" builtinId="0"/>
    <cellStyle name="표준 2" xfId="1" xr:uid="{2DAA98D9-80A1-4C71-9F93-30391E2FC206}"/>
  </cellStyles>
  <dxfs count="5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>
      <selection activeCell="E25" sqref="E25"/>
    </sheetView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55" t="s">
        <v>108</v>
      </c>
      <c r="C2" s="55"/>
    </row>
    <row r="4" spans="2:3" ht="19.5" customHeight="1">
      <c r="B4" s="14" t="s">
        <v>109</v>
      </c>
      <c r="C4" s="15" t="s">
        <v>110</v>
      </c>
    </row>
    <row r="5" spans="2:3" ht="36.950000000000003" customHeight="1">
      <c r="B5" s="1" t="s">
        <v>0</v>
      </c>
      <c r="C5" s="15" t="s">
        <v>111</v>
      </c>
    </row>
    <row r="6" spans="2:3" ht="19.5" customHeight="1">
      <c r="B6" s="1" t="s">
        <v>1</v>
      </c>
      <c r="C6" s="3" t="s">
        <v>112</v>
      </c>
    </row>
    <row r="7" spans="2:3" ht="19.5" customHeight="1">
      <c r="B7" s="1" t="s">
        <v>2</v>
      </c>
      <c r="C7" s="3" t="s">
        <v>113</v>
      </c>
    </row>
    <row r="9" spans="2:3" ht="15" customHeight="1">
      <c r="B9" s="51" t="s">
        <v>114</v>
      </c>
      <c r="C9" s="52"/>
    </row>
    <row r="10" spans="2:3" ht="27">
      <c r="B10" s="4" t="s">
        <v>3</v>
      </c>
      <c r="C10" s="15" t="s">
        <v>115</v>
      </c>
    </row>
    <row r="11" spans="2:3" ht="40.5">
      <c r="B11" s="4" t="s">
        <v>116</v>
      </c>
      <c r="C11" s="15" t="s">
        <v>117</v>
      </c>
    </row>
    <row r="12" spans="2:3" ht="33.75" customHeight="1">
      <c r="B12" s="4" t="s">
        <v>118</v>
      </c>
      <c r="C12" s="2" t="s">
        <v>119</v>
      </c>
    </row>
    <row r="13" spans="2:3" ht="33.75" customHeight="1">
      <c r="B13" s="4" t="s">
        <v>120</v>
      </c>
      <c r="C13" s="3" t="s">
        <v>121</v>
      </c>
    </row>
    <row r="14" spans="2:3" ht="33.75" customHeight="1">
      <c r="B14" s="4" t="s">
        <v>122</v>
      </c>
      <c r="C14" s="2" t="s">
        <v>123</v>
      </c>
    </row>
    <row r="15" spans="2:3" ht="33.75" customHeight="1">
      <c r="B15" s="4" t="s">
        <v>4</v>
      </c>
      <c r="C15" s="15" t="s">
        <v>124</v>
      </c>
    </row>
    <row r="17" spans="2:3" ht="15" customHeight="1">
      <c r="B17" s="53" t="s">
        <v>5</v>
      </c>
      <c r="C17" s="54"/>
    </row>
    <row r="18" spans="2:3" ht="27.75" customHeight="1">
      <c r="B18" s="56" t="s">
        <v>125</v>
      </c>
      <c r="C18" s="57"/>
    </row>
    <row r="19" spans="2:3" ht="27.75" customHeight="1">
      <c r="B19" s="49" t="s">
        <v>7</v>
      </c>
      <c r="C19" s="50"/>
    </row>
    <row r="20" spans="2:3" ht="27.75" customHeight="1">
      <c r="B20" s="49" t="s">
        <v>8</v>
      </c>
      <c r="C20" s="50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Normal="100" workbookViewId="0">
      <selection activeCell="E25" sqref="E25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60" t="s">
        <v>9</v>
      </c>
      <c r="C2" s="61"/>
      <c r="D2" s="61"/>
      <c r="E2" s="61"/>
      <c r="F2" s="61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3" t="s">
        <v>142</v>
      </c>
      <c r="C5" s="24" t="s">
        <v>15</v>
      </c>
      <c r="D5" s="15" t="s">
        <v>139</v>
      </c>
      <c r="E5" s="25" t="s">
        <v>140</v>
      </c>
      <c r="F5" s="24" t="s">
        <v>16</v>
      </c>
    </row>
    <row r="6" spans="2:10" ht="129.75" customHeight="1">
      <c r="B6" s="23" t="s">
        <v>143</v>
      </c>
      <c r="C6" s="24" t="s">
        <v>17</v>
      </c>
      <c r="D6" s="15" t="s">
        <v>147</v>
      </c>
      <c r="E6" s="24" t="s">
        <v>18</v>
      </c>
      <c r="F6" s="24" t="s">
        <v>19</v>
      </c>
    </row>
    <row r="7" spans="2:10" ht="129.75" customHeight="1">
      <c r="B7" s="23" t="s">
        <v>20</v>
      </c>
      <c r="C7" s="5" t="s">
        <v>21</v>
      </c>
      <c r="D7" s="22" t="s">
        <v>145</v>
      </c>
      <c r="E7" s="5" t="s">
        <v>22</v>
      </c>
      <c r="F7" s="5" t="s">
        <v>23</v>
      </c>
      <c r="J7" s="27" t="s">
        <v>146</v>
      </c>
    </row>
    <row r="8" spans="2:10" ht="129.75" customHeight="1">
      <c r="B8" s="26" t="s">
        <v>144</v>
      </c>
      <c r="C8" s="5" t="s">
        <v>24</v>
      </c>
      <c r="D8" s="15" t="s">
        <v>141</v>
      </c>
      <c r="E8" s="24" t="s">
        <v>25</v>
      </c>
      <c r="F8" s="5" t="s">
        <v>26</v>
      </c>
    </row>
    <row r="9" spans="2:10" ht="14.1" customHeight="1"/>
    <row r="10" spans="2:10" ht="15" customHeight="1">
      <c r="B10" s="62" t="s">
        <v>126</v>
      </c>
      <c r="C10" s="59"/>
      <c r="D10" s="59"/>
      <c r="E10" s="59"/>
      <c r="F10" s="52"/>
    </row>
    <row r="11" spans="2:10" ht="24" customHeight="1">
      <c r="B11" s="5" t="s">
        <v>6</v>
      </c>
      <c r="C11" s="58" t="s">
        <v>127</v>
      </c>
      <c r="D11" s="59"/>
      <c r="E11" s="59"/>
      <c r="F11" s="59"/>
    </row>
    <row r="12" spans="2:10" ht="24" customHeight="1">
      <c r="B12" s="5" t="s">
        <v>6</v>
      </c>
      <c r="C12" s="58" t="s">
        <v>128</v>
      </c>
      <c r="D12" s="59"/>
      <c r="E12" s="59"/>
      <c r="F12" s="59"/>
    </row>
    <row r="13" spans="2:10" ht="24" customHeight="1">
      <c r="B13" s="5" t="s">
        <v>6</v>
      </c>
      <c r="C13" s="58" t="s">
        <v>129</v>
      </c>
      <c r="D13" s="59"/>
      <c r="E13" s="59"/>
      <c r="F13" s="59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45BD-C5E2-4A77-8E9F-57BABCBD0C10}">
  <dimension ref="B2:C21"/>
  <sheetViews>
    <sheetView showGridLines="0" topLeftCell="A7" zoomScaleNormal="100" workbookViewId="0">
      <selection activeCell="E25" sqref="E25"/>
    </sheetView>
  </sheetViews>
  <sheetFormatPr defaultColWidth="8.7109375" defaultRowHeight="15"/>
  <cols>
    <col min="1" max="1" width="4" style="28" customWidth="1"/>
    <col min="2" max="2" width="22" style="28" customWidth="1"/>
    <col min="3" max="3" width="79.140625" style="28" customWidth="1"/>
    <col min="4" max="8" width="4" style="28" customWidth="1"/>
    <col min="9" max="16384" width="8.7109375" style="28"/>
  </cols>
  <sheetData>
    <row r="2" spans="2:3" ht="31.5" customHeight="1">
      <c r="B2" s="55" t="s">
        <v>108</v>
      </c>
      <c r="C2" s="55"/>
    </row>
    <row r="4" spans="2:3" ht="19.5" customHeight="1">
      <c r="B4" s="14" t="s">
        <v>109</v>
      </c>
      <c r="C4" s="15" t="s">
        <v>110</v>
      </c>
    </row>
    <row r="5" spans="2:3" ht="36.950000000000003" customHeight="1">
      <c r="B5" s="1" t="s">
        <v>0</v>
      </c>
      <c r="C5" s="15" t="s">
        <v>111</v>
      </c>
    </row>
    <row r="6" spans="2:3" ht="19.5" customHeight="1">
      <c r="B6" s="1" t="s">
        <v>1</v>
      </c>
      <c r="C6" s="3" t="s">
        <v>112</v>
      </c>
    </row>
    <row r="7" spans="2:3" ht="19.5" customHeight="1">
      <c r="B7" s="1" t="s">
        <v>2</v>
      </c>
      <c r="C7" s="3" t="s">
        <v>113</v>
      </c>
    </row>
    <row r="9" spans="2:3" ht="15" customHeight="1">
      <c r="B9" s="51" t="s">
        <v>114</v>
      </c>
      <c r="C9" s="52"/>
    </row>
    <row r="10" spans="2:3" ht="27">
      <c r="B10" s="4" t="s">
        <v>3</v>
      </c>
      <c r="C10" s="15" t="s">
        <v>115</v>
      </c>
    </row>
    <row r="11" spans="2:3" ht="40.5">
      <c r="B11" s="4" t="s">
        <v>116</v>
      </c>
      <c r="C11" s="15" t="s">
        <v>117</v>
      </c>
    </row>
    <row r="12" spans="2:3" ht="33.75" customHeight="1">
      <c r="B12" s="4" t="s">
        <v>118</v>
      </c>
      <c r="C12" s="2" t="s">
        <v>119</v>
      </c>
    </row>
    <row r="13" spans="2:3" ht="33.75" customHeight="1">
      <c r="B13" s="4" t="s">
        <v>120</v>
      </c>
      <c r="C13" s="3" t="s">
        <v>121</v>
      </c>
    </row>
    <row r="14" spans="2:3" ht="33.75" customHeight="1">
      <c r="B14" s="4" t="s">
        <v>122</v>
      </c>
      <c r="C14" s="2" t="s">
        <v>123</v>
      </c>
    </row>
    <row r="15" spans="2:3" ht="33.75" customHeight="1">
      <c r="B15" s="4" t="s">
        <v>4</v>
      </c>
      <c r="C15" s="15" t="s">
        <v>124</v>
      </c>
    </row>
    <row r="17" spans="2:3" ht="15" customHeight="1">
      <c r="B17" s="53" t="s">
        <v>5</v>
      </c>
      <c r="C17" s="54"/>
    </row>
    <row r="18" spans="2:3" ht="27.75" customHeight="1">
      <c r="B18" s="56" t="s">
        <v>125</v>
      </c>
      <c r="C18" s="57"/>
    </row>
    <row r="19" spans="2:3" ht="27.75" customHeight="1">
      <c r="B19" s="49" t="s">
        <v>7</v>
      </c>
      <c r="C19" s="50"/>
    </row>
    <row r="20" spans="2:3" ht="27.75" customHeight="1">
      <c r="B20" s="49" t="s">
        <v>8</v>
      </c>
      <c r="C20" s="50"/>
    </row>
    <row r="21" spans="2:3" ht="27.75" customHeight="1"/>
  </sheetData>
  <mergeCells count="6">
    <mergeCell ref="B20:C20"/>
    <mergeCell ref="B2:C2"/>
    <mergeCell ref="B9:C9"/>
    <mergeCell ref="B17:C17"/>
    <mergeCell ref="B18:C18"/>
    <mergeCell ref="B19:C19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23"/>
  <sheetViews>
    <sheetView showGridLines="0" topLeftCell="A4" zoomScaleNormal="100" workbookViewId="0">
      <selection activeCell="F15" sqref="F15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61" customWidth="1"/>
    <col min="5" max="5" width="36.140625" customWidth="1"/>
    <col min="6" max="6" width="56.140625" customWidth="1"/>
  </cols>
  <sheetData>
    <row r="2" spans="2:6" ht="30" customHeight="1">
      <c r="B2" s="63" t="s">
        <v>27</v>
      </c>
      <c r="C2" s="61"/>
      <c r="D2" s="61"/>
      <c r="E2" s="61"/>
      <c r="F2" s="61"/>
    </row>
    <row r="3" spans="2:6" ht="28.35" customHeight="1">
      <c r="B3" s="64" t="s">
        <v>138</v>
      </c>
      <c r="C3" s="59"/>
      <c r="D3" s="59"/>
      <c r="E3" s="59"/>
      <c r="F3" s="52"/>
    </row>
    <row r="4" spans="2:6" ht="35.65" customHeight="1">
      <c r="B4" s="8" t="s">
        <v>28</v>
      </c>
      <c r="C4" s="8" t="s">
        <v>29</v>
      </c>
      <c r="D4" s="8" t="s">
        <v>30</v>
      </c>
      <c r="E4" s="16" t="s">
        <v>130</v>
      </c>
      <c r="F4" s="8" t="s">
        <v>31</v>
      </c>
    </row>
    <row r="5" spans="2:6" ht="15" customHeight="1">
      <c r="B5" s="9" t="s">
        <v>32</v>
      </c>
      <c r="C5" s="9"/>
      <c r="D5" s="9"/>
      <c r="E5" s="9"/>
      <c r="F5" s="9"/>
    </row>
    <row r="6" spans="2:6" ht="30" customHeight="1">
      <c r="B6" s="44" t="s">
        <v>226</v>
      </c>
      <c r="C6" s="45" t="s">
        <v>227</v>
      </c>
      <c r="D6" s="46" t="s">
        <v>228</v>
      </c>
      <c r="E6" s="45" t="s">
        <v>148</v>
      </c>
      <c r="F6" s="46" t="s">
        <v>229</v>
      </c>
    </row>
    <row r="7" spans="2:6" ht="30" customHeight="1">
      <c r="B7" s="44" t="s">
        <v>226</v>
      </c>
      <c r="C7" s="45" t="s">
        <v>230</v>
      </c>
      <c r="D7" s="46" t="s">
        <v>231</v>
      </c>
      <c r="E7" s="45" t="s">
        <v>149</v>
      </c>
      <c r="F7" s="46" t="s">
        <v>232</v>
      </c>
    </row>
    <row r="8" spans="2:6" ht="30" customHeight="1">
      <c r="B8" s="44" t="s">
        <v>226</v>
      </c>
      <c r="C8" s="45" t="s">
        <v>233</v>
      </c>
      <c r="D8" s="46" t="s">
        <v>234</v>
      </c>
      <c r="E8" s="45" t="s">
        <v>150</v>
      </c>
      <c r="F8" s="46" t="s">
        <v>235</v>
      </c>
    </row>
    <row r="9" spans="2:6" ht="30" customHeight="1">
      <c r="B9" s="44" t="s">
        <v>226</v>
      </c>
      <c r="C9" s="45" t="s">
        <v>236</v>
      </c>
      <c r="D9" s="46" t="s">
        <v>151</v>
      </c>
      <c r="E9" s="45" t="s">
        <v>152</v>
      </c>
      <c r="F9" s="46" t="s">
        <v>237</v>
      </c>
    </row>
    <row r="10" spans="2:6" ht="30" customHeight="1">
      <c r="B10" s="44" t="s">
        <v>226</v>
      </c>
      <c r="C10" s="45" t="s">
        <v>238</v>
      </c>
      <c r="D10" s="46" t="s">
        <v>153</v>
      </c>
      <c r="E10" s="45" t="s">
        <v>154</v>
      </c>
      <c r="F10" s="46" t="s">
        <v>155</v>
      </c>
    </row>
    <row r="11" spans="2:6" ht="30" customHeight="1">
      <c r="B11" s="47" t="s">
        <v>239</v>
      </c>
      <c r="C11" s="45" t="s">
        <v>240</v>
      </c>
      <c r="D11" s="46" t="s">
        <v>156</v>
      </c>
      <c r="E11" s="45" t="s">
        <v>157</v>
      </c>
      <c r="F11" s="46" t="s">
        <v>241</v>
      </c>
    </row>
    <row r="12" spans="2:6" ht="30" customHeight="1">
      <c r="B12" s="47" t="s">
        <v>239</v>
      </c>
      <c r="C12" s="45" t="s">
        <v>242</v>
      </c>
      <c r="D12" s="46" t="s">
        <v>158</v>
      </c>
      <c r="E12" s="45" t="s">
        <v>159</v>
      </c>
      <c r="F12" s="46" t="s">
        <v>160</v>
      </c>
    </row>
    <row r="13" spans="2:6" ht="30" customHeight="1">
      <c r="B13" s="47" t="s">
        <v>239</v>
      </c>
      <c r="C13" s="45" t="s">
        <v>243</v>
      </c>
      <c r="D13" s="46" t="s">
        <v>161</v>
      </c>
      <c r="E13" s="45" t="s">
        <v>162</v>
      </c>
      <c r="F13" s="46" t="s">
        <v>244</v>
      </c>
    </row>
    <row r="14" spans="2:6" ht="30" customHeight="1">
      <c r="B14" s="47" t="s">
        <v>239</v>
      </c>
      <c r="C14" s="45" t="s">
        <v>245</v>
      </c>
      <c r="D14" s="46" t="s">
        <v>163</v>
      </c>
      <c r="E14" s="45" t="s">
        <v>164</v>
      </c>
      <c r="F14" s="46" t="s">
        <v>246</v>
      </c>
    </row>
    <row r="15" spans="2:6" ht="30" customHeight="1">
      <c r="B15" s="48" t="s">
        <v>247</v>
      </c>
      <c r="C15" s="45" t="s">
        <v>248</v>
      </c>
      <c r="D15" s="46" t="s">
        <v>165</v>
      </c>
      <c r="E15" s="45" t="s">
        <v>166</v>
      </c>
      <c r="F15" s="46" t="s">
        <v>167</v>
      </c>
    </row>
    <row r="16" spans="2:6" ht="30" customHeight="1">
      <c r="B16" s="3"/>
      <c r="C16" s="2"/>
      <c r="D16" s="2"/>
      <c r="E16" s="2"/>
      <c r="F16" s="2"/>
    </row>
    <row r="17" spans="2:6" ht="30" customHeight="1">
      <c r="B17" s="3"/>
      <c r="C17" s="2"/>
      <c r="D17" s="2"/>
      <c r="E17" s="2"/>
      <c r="F17" s="2"/>
    </row>
    <row r="18" spans="2:6" ht="30" customHeight="1">
      <c r="B18" s="3"/>
      <c r="C18" s="2"/>
      <c r="D18" s="2"/>
      <c r="E18" s="2"/>
      <c r="F18" s="2"/>
    </row>
    <row r="19" spans="2:6" ht="30" customHeight="1">
      <c r="B19" s="3"/>
      <c r="C19" s="2"/>
      <c r="D19" s="2"/>
      <c r="E19" s="2"/>
      <c r="F19" s="2"/>
    </row>
    <row r="20" spans="2:6" ht="30" customHeight="1">
      <c r="B20" s="3"/>
      <c r="C20" s="2"/>
      <c r="D20" s="2"/>
      <c r="E20" s="2"/>
      <c r="F20" s="2"/>
    </row>
    <row r="21" spans="2:6" ht="30" customHeight="1">
      <c r="B21" s="3"/>
      <c r="C21" s="2"/>
      <c r="D21" s="2"/>
      <c r="E21" s="2"/>
      <c r="F21" s="2"/>
    </row>
    <row r="22" spans="2:6" ht="30" customHeight="1">
      <c r="B22" s="3"/>
      <c r="C22" s="2"/>
      <c r="D22" s="2"/>
      <c r="E22" s="2"/>
      <c r="F22" s="2"/>
    </row>
    <row r="23" spans="2:6" ht="30" customHeight="1">
      <c r="B23" s="3"/>
      <c r="C23" s="2"/>
      <c r="D23" s="2"/>
      <c r="E23" s="2"/>
      <c r="F23" s="2"/>
    </row>
  </sheetData>
  <mergeCells count="2">
    <mergeCell ref="B2:F2"/>
    <mergeCell ref="B3:F3"/>
  </mergeCells>
  <phoneticPr fontId="17" type="noConversion"/>
  <dataValidations count="1">
    <dataValidation type="list" allowBlank="1" sqref="B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8"/>
  <sheetViews>
    <sheetView showGridLines="0" zoomScaleNormal="100" workbookViewId="0">
      <selection activeCell="E25" sqref="E25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60" t="s">
        <v>33</v>
      </c>
      <c r="C2" s="61"/>
      <c r="D2" s="61"/>
      <c r="E2" s="61"/>
      <c r="F2" s="61"/>
      <c r="G2" s="61"/>
      <c r="H2" s="61"/>
    </row>
    <row r="3" spans="2:8" ht="72.400000000000006" customHeight="1">
      <c r="B3" s="65" t="s">
        <v>132</v>
      </c>
      <c r="C3" s="59"/>
      <c r="D3" s="59"/>
      <c r="E3" s="59"/>
      <c r="F3" s="59"/>
      <c r="G3" s="59"/>
      <c r="H3" s="52"/>
    </row>
    <row r="4" spans="2:8" ht="18" customHeight="1">
      <c r="B4" s="66" t="s">
        <v>34</v>
      </c>
      <c r="C4" s="59"/>
      <c r="D4" s="59"/>
      <c r="E4" s="59"/>
      <c r="F4" s="59"/>
      <c r="G4" s="59"/>
      <c r="H4" s="52"/>
    </row>
    <row r="5" spans="2:8" ht="31.5" customHeight="1">
      <c r="B5" s="10" t="s">
        <v>35</v>
      </c>
      <c r="C5" s="10" t="s">
        <v>36</v>
      </c>
      <c r="D5" s="18" t="s">
        <v>37</v>
      </c>
      <c r="E5" s="11" t="s">
        <v>38</v>
      </c>
      <c r="F5" s="11" t="s">
        <v>39</v>
      </c>
      <c r="G5" s="10" t="s">
        <v>40</v>
      </c>
      <c r="H5" s="11" t="s">
        <v>41</v>
      </c>
    </row>
    <row r="6" spans="2:8" ht="33.75" customHeight="1">
      <c r="B6" s="12" t="s">
        <v>168</v>
      </c>
      <c r="C6" s="3" t="s">
        <v>169</v>
      </c>
      <c r="D6" s="5">
        <v>3</v>
      </c>
      <c r="E6" s="5">
        <v>3.5</v>
      </c>
      <c r="F6" s="5">
        <v>5</v>
      </c>
      <c r="G6" s="5">
        <f t="shared" ref="G6:G13" si="0">IF(OR(E6="",F6=""),"",E6*F6*2)</f>
        <v>35</v>
      </c>
      <c r="H6" s="5" t="s">
        <v>192</v>
      </c>
    </row>
    <row r="7" spans="2:8" ht="33.75" customHeight="1">
      <c r="B7" s="12" t="s">
        <v>170</v>
      </c>
      <c r="C7" s="3" t="s">
        <v>191</v>
      </c>
      <c r="D7" s="5">
        <v>2</v>
      </c>
      <c r="E7" s="5">
        <v>4</v>
      </c>
      <c r="F7" s="5">
        <v>3</v>
      </c>
      <c r="G7" s="5">
        <f t="shared" si="0"/>
        <v>24</v>
      </c>
      <c r="H7" s="5" t="s">
        <v>190</v>
      </c>
    </row>
    <row r="8" spans="2:8" ht="33.75" customHeight="1">
      <c r="B8" s="12" t="s">
        <v>171</v>
      </c>
      <c r="C8" s="3" t="s">
        <v>172</v>
      </c>
      <c r="D8" s="5">
        <v>3</v>
      </c>
      <c r="E8" s="5">
        <v>3</v>
      </c>
      <c r="F8" s="5">
        <v>3</v>
      </c>
      <c r="G8" s="5">
        <f t="shared" si="0"/>
        <v>18</v>
      </c>
      <c r="H8" s="5" t="s">
        <v>190</v>
      </c>
    </row>
    <row r="9" spans="2:8" ht="33.75" customHeight="1">
      <c r="B9" s="12" t="s">
        <v>173</v>
      </c>
      <c r="C9" s="2" t="s">
        <v>174</v>
      </c>
      <c r="D9" s="5">
        <v>5</v>
      </c>
      <c r="E9" s="5">
        <v>1</v>
      </c>
      <c r="F9" s="5">
        <v>4</v>
      </c>
      <c r="G9" s="5">
        <f t="shared" si="0"/>
        <v>8</v>
      </c>
      <c r="H9" s="5" t="s">
        <v>189</v>
      </c>
    </row>
    <row r="10" spans="2:8" ht="33.75" customHeight="1">
      <c r="B10" s="12" t="s">
        <v>175</v>
      </c>
      <c r="C10" s="2" t="s">
        <v>176</v>
      </c>
      <c r="D10" s="5">
        <v>1</v>
      </c>
      <c r="E10" s="5">
        <v>5</v>
      </c>
      <c r="F10" s="5">
        <v>4</v>
      </c>
      <c r="G10" s="5">
        <f t="shared" si="0"/>
        <v>40</v>
      </c>
      <c r="H10" s="5" t="s">
        <v>189</v>
      </c>
    </row>
    <row r="11" spans="2:8" ht="33.75" customHeight="1">
      <c r="B11" s="12" t="s">
        <v>177</v>
      </c>
      <c r="C11" s="3" t="s">
        <v>178</v>
      </c>
      <c r="D11" s="5">
        <v>5</v>
      </c>
      <c r="E11" s="5">
        <v>1</v>
      </c>
      <c r="F11" s="5">
        <v>1</v>
      </c>
      <c r="G11" s="5">
        <f t="shared" si="0"/>
        <v>2</v>
      </c>
      <c r="H11" s="5" t="s">
        <v>190</v>
      </c>
    </row>
    <row r="12" spans="2:8" ht="33.75" customHeight="1">
      <c r="B12" s="12" t="s">
        <v>179</v>
      </c>
      <c r="C12" s="3" t="s">
        <v>180</v>
      </c>
      <c r="D12" s="5">
        <v>2</v>
      </c>
      <c r="E12" s="5">
        <v>4</v>
      </c>
      <c r="F12" s="5">
        <v>3</v>
      </c>
      <c r="G12" s="5">
        <f t="shared" si="0"/>
        <v>24</v>
      </c>
      <c r="H12" s="5" t="s">
        <v>189</v>
      </c>
    </row>
    <row r="13" spans="2:8" ht="33.75" customHeight="1">
      <c r="B13" s="30" t="s">
        <v>181</v>
      </c>
      <c r="C13" s="31" t="s">
        <v>182</v>
      </c>
      <c r="D13" s="32">
        <v>2</v>
      </c>
      <c r="E13" s="32">
        <v>4</v>
      </c>
      <c r="F13" s="32">
        <v>3</v>
      </c>
      <c r="G13" s="32">
        <f t="shared" si="0"/>
        <v>24</v>
      </c>
      <c r="H13" s="32" t="s">
        <v>190</v>
      </c>
    </row>
    <row r="14" spans="2:8" ht="28.5" customHeight="1">
      <c r="B14" s="34" t="s">
        <v>183</v>
      </c>
      <c r="C14" s="31" t="s">
        <v>184</v>
      </c>
      <c r="D14" s="32">
        <v>1</v>
      </c>
      <c r="E14" s="32">
        <v>5</v>
      </c>
      <c r="F14" s="32">
        <v>4</v>
      </c>
      <c r="G14" s="32">
        <f t="shared" ref="G14:G15" si="1">IF(OR(E14="",F14=""),"",E14*F14*2)</f>
        <v>40</v>
      </c>
      <c r="H14" s="32" t="s">
        <v>189</v>
      </c>
    </row>
    <row r="15" spans="2:8" ht="47.25" customHeight="1">
      <c r="B15" s="35" t="s">
        <v>185</v>
      </c>
      <c r="C15" s="36" t="s">
        <v>186</v>
      </c>
      <c r="D15" s="33">
        <v>1</v>
      </c>
      <c r="E15" s="33">
        <v>5</v>
      </c>
      <c r="F15" s="33">
        <v>3</v>
      </c>
      <c r="G15" s="33">
        <f t="shared" si="1"/>
        <v>30</v>
      </c>
      <c r="H15" s="33" t="s">
        <v>189</v>
      </c>
    </row>
    <row r="16" spans="2:8" ht="27">
      <c r="B16" s="37" t="s">
        <v>187</v>
      </c>
      <c r="C16" s="39" t="s">
        <v>188</v>
      </c>
      <c r="D16" s="38">
        <v>2</v>
      </c>
      <c r="E16" s="38">
        <v>4</v>
      </c>
      <c r="F16" s="38">
        <v>4</v>
      </c>
      <c r="G16" s="38">
        <f t="shared" ref="G16" si="2">IF(OR(E16="",F16=""),"",E16*F16*2)</f>
        <v>32</v>
      </c>
      <c r="H16" s="38" t="s">
        <v>190</v>
      </c>
    </row>
    <row r="18" spans="2:8" ht="108" customHeight="1">
      <c r="B18" s="17" t="s">
        <v>131</v>
      </c>
      <c r="C18" s="67" t="s">
        <v>202</v>
      </c>
      <c r="D18" s="68"/>
      <c r="E18" s="68"/>
      <c r="F18" s="68"/>
      <c r="G18" s="68"/>
      <c r="H18" s="69"/>
    </row>
  </sheetData>
  <mergeCells count="4">
    <mergeCell ref="B3:H3"/>
    <mergeCell ref="B2:H2"/>
    <mergeCell ref="B4:H4"/>
    <mergeCell ref="C18:H18"/>
  </mergeCells>
  <phoneticPr fontId="17" type="noConversion"/>
  <conditionalFormatting sqref="G6:G13">
    <cfRule type="expression" dxfId="4" priority="5">
      <formula>AND(G6&lt;&gt;"",G6&gt;=32)</formula>
    </cfRule>
  </conditionalFormatting>
  <conditionalFormatting sqref="G14">
    <cfRule type="expression" dxfId="3" priority="3">
      <formula>AND(G14&lt;&gt;"",G14&gt;=32)</formula>
    </cfRule>
  </conditionalFormatting>
  <conditionalFormatting sqref="G15">
    <cfRule type="expression" dxfId="2" priority="2">
      <formula>AND(G15&lt;&gt;"",G15&gt;=32)</formula>
    </cfRule>
  </conditionalFormatting>
  <conditionalFormatting sqref="G16">
    <cfRule type="expression" dxfId="1" priority="1">
      <formula>AND(G16&lt;&gt;"",G16&gt;=32)</formula>
    </cfRule>
  </conditionalFormatting>
  <dataValidations count="2">
    <dataValidation type="list" allowBlank="1" sqref="E6:F16" xr:uid="{00000000-0002-0000-0300-000000000000}">
      <formula1>"1,2,3,4,5"</formula1>
      <formula2>0</formula2>
    </dataValidation>
    <dataValidation type="list" allowBlank="1" sqref="H6:H16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3"/>
  <sheetViews>
    <sheetView showGridLines="0" tabSelected="1" zoomScale="85" zoomScaleNormal="85" workbookViewId="0">
      <selection activeCell="B13" sqref="B13:C13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63" t="s">
        <v>42</v>
      </c>
      <c r="C2" s="61"/>
    </row>
    <row r="3" spans="2:3" ht="18" customHeight="1">
      <c r="B3" s="76" t="s">
        <v>43</v>
      </c>
      <c r="C3" s="52"/>
    </row>
    <row r="4" spans="2:3" ht="30" customHeight="1">
      <c r="B4" s="1" t="s">
        <v>44</v>
      </c>
      <c r="C4" s="15" t="s">
        <v>193</v>
      </c>
    </row>
    <row r="5" spans="2:3" ht="30" customHeight="1">
      <c r="B5" s="1" t="s">
        <v>45</v>
      </c>
      <c r="C5" s="15" t="s">
        <v>203</v>
      </c>
    </row>
    <row r="6" spans="2:3" ht="30" customHeight="1">
      <c r="B6" s="1" t="s">
        <v>46</v>
      </c>
      <c r="C6" s="22" t="s">
        <v>194</v>
      </c>
    </row>
    <row r="7" spans="2:3" ht="30" customHeight="1">
      <c r="B7" s="1" t="s">
        <v>47</v>
      </c>
      <c r="C7" s="15" t="s">
        <v>204</v>
      </c>
    </row>
    <row r="9" spans="2:3" ht="15" customHeight="1">
      <c r="B9" s="74" t="s">
        <v>48</v>
      </c>
      <c r="C9" s="75"/>
    </row>
    <row r="10" spans="2:3" ht="25.5" customHeight="1">
      <c r="B10" s="49" t="s">
        <v>195</v>
      </c>
      <c r="C10" s="50"/>
    </row>
    <row r="11" spans="2:3" ht="25.5" customHeight="1">
      <c r="B11" s="49" t="s">
        <v>196</v>
      </c>
      <c r="C11" s="50"/>
    </row>
    <row r="12" spans="2:3" ht="25.5" customHeight="1">
      <c r="B12" s="56" t="s">
        <v>197</v>
      </c>
      <c r="C12" s="57"/>
    </row>
    <row r="13" spans="2:3" ht="25.5" customHeight="1">
      <c r="B13" s="56" t="s">
        <v>198</v>
      </c>
      <c r="C13" s="57"/>
    </row>
    <row r="14" spans="2:3" ht="25.5" customHeight="1">
      <c r="B14" s="49" t="s">
        <v>199</v>
      </c>
      <c r="C14" s="50"/>
    </row>
    <row r="15" spans="2:3">
      <c r="B15" s="58" t="s">
        <v>249</v>
      </c>
      <c r="C15" s="50"/>
    </row>
    <row r="16" spans="2:3" s="29" customFormat="1">
      <c r="B16" s="97"/>
      <c r="C16" s="98"/>
    </row>
    <row r="17" spans="2:3" ht="15" customHeight="1">
      <c r="B17" s="72" t="s">
        <v>205</v>
      </c>
      <c r="C17" s="73"/>
    </row>
    <row r="18" spans="2:3" ht="25.5" customHeight="1">
      <c r="B18" s="58" t="s">
        <v>250</v>
      </c>
      <c r="C18" s="50"/>
    </row>
    <row r="20" spans="2:3" ht="15" customHeight="1">
      <c r="B20" s="70" t="s">
        <v>206</v>
      </c>
      <c r="C20" s="71"/>
    </row>
    <row r="21" spans="2:3" ht="25.5" customHeight="1">
      <c r="B21" s="58" t="s">
        <v>207</v>
      </c>
      <c r="C21" s="50"/>
    </row>
    <row r="22" spans="2:3" ht="25.5" customHeight="1">
      <c r="B22" s="49" t="s">
        <v>200</v>
      </c>
      <c r="C22" s="50"/>
    </row>
    <row r="23" spans="2:3" ht="25.5" customHeight="1">
      <c r="B23" s="58" t="s">
        <v>201</v>
      </c>
      <c r="C23" s="50"/>
    </row>
  </sheetData>
  <mergeCells count="15">
    <mergeCell ref="B9:C9"/>
    <mergeCell ref="B21:C21"/>
    <mergeCell ref="B22:C22"/>
    <mergeCell ref="B3:C3"/>
    <mergeCell ref="B2:C2"/>
    <mergeCell ref="B10:C10"/>
    <mergeCell ref="B11:C11"/>
    <mergeCell ref="B12:C12"/>
    <mergeCell ref="B15:C15"/>
    <mergeCell ref="B23:C23"/>
    <mergeCell ref="B13:C13"/>
    <mergeCell ref="B14:C14"/>
    <mergeCell ref="B18:C18"/>
    <mergeCell ref="B20:C20"/>
    <mergeCell ref="B17:C17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8"/>
  <sheetViews>
    <sheetView showGridLines="0" zoomScaleNormal="100" workbookViewId="0">
      <selection activeCell="M8" sqref="M8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31.28515625" customWidth="1"/>
    <col min="5" max="5" width="10.140625" customWidth="1"/>
    <col min="6" max="6" width="26.140625" customWidth="1"/>
    <col min="7" max="7" width="26.5703125" customWidth="1"/>
    <col min="8" max="9" width="8" customWidth="1"/>
    <col min="10" max="10" width="7.42578125" customWidth="1"/>
    <col min="11" max="11" width="30.5703125" customWidth="1"/>
    <col min="12" max="12" width="29.42578125" customWidth="1"/>
    <col min="13" max="13" width="40.7109375" customWidth="1"/>
  </cols>
  <sheetData>
    <row r="2" spans="2:13" ht="27.75" customHeight="1">
      <c r="B2" s="90" t="s">
        <v>49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2:13" ht="79.7" customHeight="1">
      <c r="B3" s="89" t="s">
        <v>133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2"/>
    </row>
    <row r="4" spans="2:13" ht="25.5" customHeight="1">
      <c r="B4" s="13" t="s">
        <v>50</v>
      </c>
      <c r="C4" s="11" t="s">
        <v>51</v>
      </c>
      <c r="D4" s="11" t="s">
        <v>52</v>
      </c>
      <c r="E4" s="11" t="s">
        <v>53</v>
      </c>
      <c r="F4" s="21" t="s">
        <v>136</v>
      </c>
      <c r="G4" s="21" t="s">
        <v>137</v>
      </c>
      <c r="H4" s="18" t="s">
        <v>54</v>
      </c>
      <c r="I4" s="20" t="s">
        <v>135</v>
      </c>
      <c r="J4" s="11" t="s">
        <v>55</v>
      </c>
      <c r="K4" s="19">
        <v>1</v>
      </c>
      <c r="L4" s="19">
        <v>2</v>
      </c>
      <c r="M4" s="19">
        <v>3</v>
      </c>
    </row>
    <row r="5" spans="2:13" ht="30" customHeight="1">
      <c r="B5" s="5">
        <v>1</v>
      </c>
      <c r="C5" s="40" t="s">
        <v>56</v>
      </c>
      <c r="D5" s="41" t="s">
        <v>208</v>
      </c>
      <c r="E5" s="40" t="s">
        <v>211</v>
      </c>
      <c r="F5" s="43" t="s">
        <v>221</v>
      </c>
      <c r="G5" s="43" t="s">
        <v>221</v>
      </c>
      <c r="H5" s="5">
        <f t="shared" ref="H5:H18" si="0">IF(OR(F5="",G5=""),"",G5-F5+1)</f>
        <v>1</v>
      </c>
      <c r="I5" s="5">
        <v>100</v>
      </c>
      <c r="J5" s="5" t="s">
        <v>225</v>
      </c>
      <c r="K5" s="42"/>
      <c r="L5" s="3"/>
      <c r="M5" s="3"/>
    </row>
    <row r="6" spans="2:13" ht="30" customHeight="1">
      <c r="B6" s="5">
        <v>2</v>
      </c>
      <c r="C6" s="40" t="s">
        <v>57</v>
      </c>
      <c r="D6" s="41" t="s">
        <v>209</v>
      </c>
      <c r="E6" s="40" t="s">
        <v>212</v>
      </c>
      <c r="F6" s="43" t="s">
        <v>221</v>
      </c>
      <c r="G6" s="43" t="s">
        <v>221</v>
      </c>
      <c r="H6" s="5">
        <f t="shared" si="0"/>
        <v>1</v>
      </c>
      <c r="I6" s="5">
        <v>0</v>
      </c>
      <c r="J6" s="5" t="s">
        <v>224</v>
      </c>
      <c r="K6" s="42"/>
      <c r="L6" s="3"/>
      <c r="M6" s="3"/>
    </row>
    <row r="7" spans="2:13" ht="30" customHeight="1">
      <c r="B7" s="5">
        <v>3</v>
      </c>
      <c r="C7" s="40" t="s">
        <v>58</v>
      </c>
      <c r="D7" s="41" t="s">
        <v>210</v>
      </c>
      <c r="E7" s="40" t="s">
        <v>212</v>
      </c>
      <c r="F7" s="43" t="s">
        <v>221</v>
      </c>
      <c r="G7" s="43" t="s">
        <v>221</v>
      </c>
      <c r="H7" s="5">
        <f t="shared" si="0"/>
        <v>1</v>
      </c>
      <c r="I7" s="5">
        <v>0</v>
      </c>
      <c r="J7" s="5" t="s">
        <v>224</v>
      </c>
      <c r="K7" s="42"/>
      <c r="L7" s="3"/>
      <c r="M7" s="3"/>
    </row>
    <row r="8" spans="2:13" ht="30" customHeight="1">
      <c r="B8" s="5">
        <v>4</v>
      </c>
      <c r="C8" s="40" t="s">
        <v>58</v>
      </c>
      <c r="D8" s="41" t="s">
        <v>213</v>
      </c>
      <c r="E8" s="40" t="s">
        <v>212</v>
      </c>
      <c r="F8" s="43" t="s">
        <v>221</v>
      </c>
      <c r="G8" s="43" t="s">
        <v>222</v>
      </c>
      <c r="H8" s="5">
        <f t="shared" si="0"/>
        <v>2</v>
      </c>
      <c r="I8" s="5">
        <v>0</v>
      </c>
      <c r="J8" s="5" t="s">
        <v>224</v>
      </c>
      <c r="K8" s="42"/>
      <c r="L8" s="42"/>
      <c r="M8" s="3"/>
    </row>
    <row r="9" spans="2:13" ht="30" customHeight="1">
      <c r="B9" s="5">
        <v>5</v>
      </c>
      <c r="C9" s="40" t="s">
        <v>58</v>
      </c>
      <c r="D9" s="41" t="s">
        <v>214</v>
      </c>
      <c r="E9" s="40" t="s">
        <v>212</v>
      </c>
      <c r="F9" s="43" t="s">
        <v>221</v>
      </c>
      <c r="G9" s="43" t="s">
        <v>222</v>
      </c>
      <c r="H9" s="5">
        <f t="shared" si="0"/>
        <v>2</v>
      </c>
      <c r="I9" s="5">
        <v>0</v>
      </c>
      <c r="J9" s="5" t="s">
        <v>224</v>
      </c>
      <c r="K9" s="42"/>
      <c r="L9" s="42"/>
      <c r="M9" s="3"/>
    </row>
    <row r="10" spans="2:13" ht="30" customHeight="1">
      <c r="B10" s="5">
        <v>6</v>
      </c>
      <c r="C10" s="40" t="s">
        <v>58</v>
      </c>
      <c r="D10" s="41" t="s">
        <v>215</v>
      </c>
      <c r="E10" s="40" t="s">
        <v>212</v>
      </c>
      <c r="F10" s="43" t="s">
        <v>222</v>
      </c>
      <c r="G10" s="43" t="s">
        <v>222</v>
      </c>
      <c r="H10" s="5">
        <f t="shared" si="0"/>
        <v>1</v>
      </c>
      <c r="I10" s="5">
        <v>0</v>
      </c>
      <c r="J10" s="5" t="s">
        <v>224</v>
      </c>
      <c r="K10" s="3"/>
      <c r="L10" s="42"/>
      <c r="M10" s="3"/>
    </row>
    <row r="11" spans="2:13" ht="30" customHeight="1">
      <c r="B11" s="5">
        <v>7</v>
      </c>
      <c r="C11" s="40" t="s">
        <v>58</v>
      </c>
      <c r="D11" s="41" t="s">
        <v>216</v>
      </c>
      <c r="E11" s="40" t="s">
        <v>212</v>
      </c>
      <c r="F11" s="43" t="s">
        <v>222</v>
      </c>
      <c r="G11" s="43" t="s">
        <v>222</v>
      </c>
      <c r="H11" s="5">
        <f t="shared" si="0"/>
        <v>1</v>
      </c>
      <c r="I11" s="5">
        <v>0</v>
      </c>
      <c r="J11" s="5" t="s">
        <v>224</v>
      </c>
      <c r="K11" s="3"/>
      <c r="L11" s="42"/>
      <c r="M11" s="3"/>
    </row>
    <row r="12" spans="2:13" ht="30" customHeight="1">
      <c r="B12" s="5">
        <v>8</v>
      </c>
      <c r="C12" s="40" t="s">
        <v>59</v>
      </c>
      <c r="D12" s="41" t="s">
        <v>217</v>
      </c>
      <c r="E12" s="40" t="s">
        <v>212</v>
      </c>
      <c r="F12" s="43" t="s">
        <v>222</v>
      </c>
      <c r="G12" s="43" t="s">
        <v>222</v>
      </c>
      <c r="H12" s="5">
        <f t="shared" si="0"/>
        <v>1</v>
      </c>
      <c r="I12" s="5">
        <v>0</v>
      </c>
      <c r="J12" s="5" t="s">
        <v>224</v>
      </c>
      <c r="K12" s="3"/>
      <c r="L12" s="42"/>
      <c r="M12" s="3"/>
    </row>
    <row r="13" spans="2:13" ht="30" customHeight="1">
      <c r="B13" s="5">
        <v>9</v>
      </c>
      <c r="C13" s="40" t="s">
        <v>60</v>
      </c>
      <c r="D13" s="41" t="s">
        <v>218</v>
      </c>
      <c r="E13" s="40" t="s">
        <v>211</v>
      </c>
      <c r="F13" s="43" t="s">
        <v>223</v>
      </c>
      <c r="G13" s="43" t="s">
        <v>223</v>
      </c>
      <c r="H13" s="5">
        <f t="shared" si="0"/>
        <v>1</v>
      </c>
      <c r="I13" s="5">
        <v>0</v>
      </c>
      <c r="J13" s="5" t="s">
        <v>224</v>
      </c>
      <c r="K13" s="3"/>
      <c r="L13" s="3"/>
      <c r="M13" s="42"/>
    </row>
    <row r="14" spans="2:13" ht="30" customHeight="1">
      <c r="B14" s="5">
        <v>10</v>
      </c>
      <c r="C14" s="40" t="s">
        <v>61</v>
      </c>
      <c r="D14" s="41" t="s">
        <v>219</v>
      </c>
      <c r="E14" s="40" t="s">
        <v>211</v>
      </c>
      <c r="F14" s="43" t="s">
        <v>223</v>
      </c>
      <c r="G14" s="43" t="s">
        <v>223</v>
      </c>
      <c r="H14" s="5">
        <f t="shared" si="0"/>
        <v>1</v>
      </c>
      <c r="I14" s="5">
        <v>0</v>
      </c>
      <c r="J14" s="5" t="s">
        <v>224</v>
      </c>
      <c r="K14" s="3"/>
      <c r="L14" s="3"/>
      <c r="M14" s="42"/>
    </row>
    <row r="15" spans="2:13" ht="30" customHeight="1">
      <c r="B15" s="5">
        <v>11</v>
      </c>
      <c r="C15" s="40" t="s">
        <v>62</v>
      </c>
      <c r="D15" s="41" t="s">
        <v>220</v>
      </c>
      <c r="E15" s="40" t="s">
        <v>211</v>
      </c>
      <c r="F15" s="43" t="s">
        <v>223</v>
      </c>
      <c r="G15" s="43" t="s">
        <v>223</v>
      </c>
      <c r="H15" s="5">
        <f t="shared" si="0"/>
        <v>1</v>
      </c>
      <c r="I15" s="5">
        <v>0</v>
      </c>
      <c r="J15" s="5" t="s">
        <v>224</v>
      </c>
      <c r="K15" s="3"/>
      <c r="L15" s="3"/>
      <c r="M15" s="42"/>
    </row>
    <row r="16" spans="2:13" ht="30" customHeight="1">
      <c r="B16" s="5">
        <v>12</v>
      </c>
      <c r="C16" s="5"/>
      <c r="D16" s="2"/>
      <c r="E16" s="5"/>
      <c r="F16" s="5"/>
      <c r="G16" s="5"/>
      <c r="H16" s="5" t="str">
        <f t="shared" si="0"/>
        <v/>
      </c>
      <c r="I16" s="5"/>
      <c r="J16" s="5"/>
      <c r="K16" s="3"/>
      <c r="L16" s="3"/>
      <c r="M16" s="3"/>
    </row>
    <row r="17" spans="2:13" ht="30" customHeight="1">
      <c r="B17" s="5">
        <v>13</v>
      </c>
      <c r="C17" s="5"/>
      <c r="D17" s="2"/>
      <c r="E17" s="5"/>
      <c r="F17" s="5"/>
      <c r="G17" s="5"/>
      <c r="H17" s="5" t="str">
        <f t="shared" si="0"/>
        <v/>
      </c>
      <c r="I17" s="5"/>
      <c r="J17" s="5"/>
      <c r="K17" s="3"/>
      <c r="L17" s="3"/>
      <c r="M17" s="3"/>
    </row>
    <row r="18" spans="2:13" ht="30" customHeight="1">
      <c r="B18" s="5">
        <v>14</v>
      </c>
      <c r="C18" s="5"/>
      <c r="D18" s="2"/>
      <c r="E18" s="5"/>
      <c r="F18" s="5"/>
      <c r="G18" s="5"/>
      <c r="H18" s="5" t="str">
        <f t="shared" si="0"/>
        <v/>
      </c>
      <c r="I18" s="5"/>
      <c r="J18" s="5"/>
      <c r="K18" s="3"/>
      <c r="L18" s="3"/>
      <c r="M18" s="3"/>
    </row>
    <row r="20" spans="2:13" ht="15" customHeight="1">
      <c r="B20" s="91" t="s">
        <v>134</v>
      </c>
      <c r="C20" s="92"/>
    </row>
    <row r="21" spans="2:13" ht="15" customHeight="1">
      <c r="B21" s="93" t="s">
        <v>56</v>
      </c>
      <c r="C21" s="94"/>
    </row>
    <row r="22" spans="2:13" ht="15" customHeight="1">
      <c r="B22" s="95" t="s">
        <v>57</v>
      </c>
      <c r="C22" s="96"/>
    </row>
    <row r="23" spans="2:13" ht="15" customHeight="1">
      <c r="B23" s="79" t="s">
        <v>58</v>
      </c>
      <c r="C23" s="80"/>
    </row>
    <row r="24" spans="2:13" ht="15" customHeight="1">
      <c r="B24" s="81" t="s">
        <v>59</v>
      </c>
      <c r="C24" s="82"/>
    </row>
    <row r="25" spans="2:13" ht="15" customHeight="1">
      <c r="B25" s="83" t="s">
        <v>60</v>
      </c>
      <c r="C25" s="84"/>
    </row>
    <row r="26" spans="2:13" ht="15" customHeight="1">
      <c r="B26" s="85" t="s">
        <v>61</v>
      </c>
      <c r="C26" s="86"/>
    </row>
    <row r="27" spans="2:13" ht="15" customHeight="1">
      <c r="B27" s="87" t="s">
        <v>62</v>
      </c>
      <c r="C27" s="88"/>
    </row>
    <row r="28" spans="2:13" ht="15" customHeight="1">
      <c r="B28" s="77" t="s">
        <v>63</v>
      </c>
      <c r="C28" s="78"/>
    </row>
  </sheetData>
  <mergeCells count="11">
    <mergeCell ref="B3:M3"/>
    <mergeCell ref="B2:M2"/>
    <mergeCell ref="B20:C20"/>
    <mergeCell ref="B21:C21"/>
    <mergeCell ref="B22:C22"/>
    <mergeCell ref="B28:C28"/>
    <mergeCell ref="B23:C23"/>
    <mergeCell ref="B24:C24"/>
    <mergeCell ref="B25:C25"/>
    <mergeCell ref="B26:C26"/>
    <mergeCell ref="B27:C27"/>
  </mergeCells>
  <phoneticPr fontId="17" type="noConversion"/>
  <conditionalFormatting sqref="K5:M18">
    <cfRule type="expression" dxfId="0" priority="2">
      <formula>AND(K$4&gt;=$F5,K$4&lt;=$G5)</formula>
    </cfRule>
  </conditionalFormatting>
  <dataValidations count="2">
    <dataValidation type="list" allowBlank="1" sqref="C5:C18" xr:uid="{00000000-0002-0000-0500-000000000000}">
      <formula1>"기획,설계,개발,배포,테스트,문서화,발표준비"</formula1>
      <formula2>0</formula2>
    </dataValidation>
    <dataValidation type="list" allowBlank="1" sqref="J5:J18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>
      <selection activeCell="E25" sqref="E25"/>
    </sheetView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60" t="s">
        <v>64</v>
      </c>
      <c r="C2" s="61"/>
    </row>
    <row r="3" spans="2:3" ht="19.5" customHeight="1">
      <c r="B3" s="66" t="s">
        <v>65</v>
      </c>
      <c r="C3" s="52"/>
    </row>
    <row r="5" spans="2:3" ht="19.5" customHeight="1">
      <c r="B5" s="6" t="s">
        <v>66</v>
      </c>
      <c r="C5" s="6" t="s">
        <v>67</v>
      </c>
    </row>
    <row r="6" spans="2:3" ht="30" customHeight="1">
      <c r="B6" s="4" t="s">
        <v>68</v>
      </c>
      <c r="C6" s="2" t="s">
        <v>69</v>
      </c>
    </row>
    <row r="7" spans="2:3" ht="30" customHeight="1">
      <c r="B7" s="4" t="s">
        <v>70</v>
      </c>
      <c r="C7" s="2" t="s">
        <v>71</v>
      </c>
    </row>
    <row r="8" spans="2:3" ht="30" customHeight="1">
      <c r="B8" s="4" t="s">
        <v>72</v>
      </c>
      <c r="C8" s="2" t="s">
        <v>73</v>
      </c>
    </row>
    <row r="9" spans="2:3" ht="30" customHeight="1">
      <c r="B9" s="1" t="s">
        <v>74</v>
      </c>
      <c r="C9" s="2" t="s">
        <v>75</v>
      </c>
    </row>
    <row r="10" spans="2:3" ht="30" customHeight="1">
      <c r="B10" s="4" t="s">
        <v>76</v>
      </c>
      <c r="C10" s="2" t="s">
        <v>77</v>
      </c>
    </row>
    <row r="11" spans="2:3" ht="30" customHeight="1">
      <c r="B11" s="4" t="s">
        <v>78</v>
      </c>
      <c r="C11" s="2" t="s">
        <v>79</v>
      </c>
    </row>
    <row r="12" spans="2:3" ht="30" customHeight="1">
      <c r="B12" s="4" t="s">
        <v>80</v>
      </c>
      <c r="C12" s="2" t="s">
        <v>81</v>
      </c>
    </row>
    <row r="13" spans="2:3" ht="30" customHeight="1">
      <c r="B13" s="1" t="s">
        <v>82</v>
      </c>
      <c r="C13" s="2" t="s">
        <v>83</v>
      </c>
    </row>
    <row r="14" spans="2:3" ht="30" customHeight="1">
      <c r="B14" s="4" t="s">
        <v>84</v>
      </c>
      <c r="C14" s="2" t="s">
        <v>85</v>
      </c>
    </row>
    <row r="15" spans="2:3" ht="30" customHeight="1">
      <c r="B15" s="1" t="s">
        <v>86</v>
      </c>
      <c r="C15" s="2" t="s">
        <v>87</v>
      </c>
    </row>
    <row r="16" spans="2:3" ht="30" customHeight="1">
      <c r="B16" s="1" t="s">
        <v>88</v>
      </c>
      <c r="C16" s="2" t="s">
        <v>89</v>
      </c>
    </row>
    <row r="17" spans="2:3" ht="30" customHeight="1">
      <c r="B17" s="4" t="s">
        <v>90</v>
      </c>
      <c r="C17" s="2" t="s">
        <v>91</v>
      </c>
    </row>
    <row r="18" spans="2:3" ht="30" customHeight="1">
      <c r="B18" s="1" t="s">
        <v>92</v>
      </c>
      <c r="C18" s="2" t="s">
        <v>93</v>
      </c>
    </row>
    <row r="19" spans="2:3" ht="30" customHeight="1">
      <c r="B19" s="1" t="s">
        <v>94</v>
      </c>
      <c r="C19" s="2" t="s">
        <v>95</v>
      </c>
    </row>
    <row r="20" spans="2:3" ht="30" customHeight="1">
      <c r="B20" s="1" t="s">
        <v>96</v>
      </c>
      <c r="C20" s="2" t="s">
        <v>97</v>
      </c>
    </row>
    <row r="21" spans="2:3" ht="30" customHeight="1">
      <c r="B21" s="1" t="s">
        <v>98</v>
      </c>
      <c r="C21" s="3" t="s">
        <v>99</v>
      </c>
    </row>
    <row r="22" spans="2:3" ht="30" customHeight="1">
      <c r="B22" s="1" t="s">
        <v>100</v>
      </c>
      <c r="C22" s="2" t="s">
        <v>101</v>
      </c>
    </row>
    <row r="23" spans="2:3" ht="30" customHeight="1">
      <c r="B23" s="4" t="s">
        <v>102</v>
      </c>
      <c r="C23" s="2" t="s">
        <v>103</v>
      </c>
    </row>
    <row r="24" spans="2:3" ht="30" customHeight="1">
      <c r="B24" s="4" t="s">
        <v>104</v>
      </c>
      <c r="C24" s="2" t="s">
        <v>105</v>
      </c>
    </row>
    <row r="25" spans="2:3" ht="30" customHeight="1">
      <c r="B25" s="4" t="s">
        <v>106</v>
      </c>
      <c r="C25" s="2" t="s">
        <v>107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0_사용안내</vt:lpstr>
      <vt:lpstr>1_프롬프트가이드(참고)</vt:lpstr>
      <vt:lpstr>0_사용안내 (2)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2026-07-14T07:13:21Z</dcterms:modified>
  <dc:language>en-US</dc:language>
</cp:coreProperties>
</file>